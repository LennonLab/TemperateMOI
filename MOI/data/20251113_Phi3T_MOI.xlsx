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lennonj_iu_edu/Documents/0000_Bueren/Projects/Entrapment/0000_OliviaLohman/SporeMOI/data/"/>
    </mc:Choice>
  </mc:AlternateContent>
  <xr:revisionPtr revIDLastSave="26" documentId="8_{A87F20A6-C5A4-134D-AAE8-94956835D385}" xr6:coauthVersionLast="47" xr6:coauthVersionMax="47" xr10:uidLastSave="{DC16ED96-04A8-0E4C-8267-D26ED4FC1C39}"/>
  <bookViews>
    <workbookView xWindow="680" yWindow="760" windowWidth="28720" windowHeight="17200" xr2:uid="{98FCFA94-39AE-EA4B-A707-863175B0992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J4" i="2"/>
  <c r="I4" i="2"/>
  <c r="H4" i="2"/>
  <c r="G4" i="2"/>
  <c r="F4" i="2"/>
  <c r="E4" i="2"/>
  <c r="D4" i="2"/>
  <c r="C4" i="2"/>
  <c r="L4" i="2" s="1"/>
  <c r="G6" i="1"/>
  <c r="G5" i="1"/>
  <c r="G4" i="1"/>
  <c r="G3" i="1"/>
  <c r="G2" i="1"/>
  <c r="G7" i="1" l="1"/>
</calcChain>
</file>

<file path=xl/sharedStrings.xml><?xml version="1.0" encoding="utf-8"?>
<sst xmlns="http://schemas.openxmlformats.org/spreadsheetml/2006/main" count="20" uniqueCount="15">
  <si>
    <t>Dilution Factor</t>
  </si>
  <si>
    <t>Innoc. (uL)</t>
  </si>
  <si>
    <t>PFUs</t>
  </si>
  <si>
    <t>Titer (PFU/mL)</t>
  </si>
  <si>
    <t>Conversion (1000uL/1mL)</t>
  </si>
  <si>
    <t>Phage</t>
  </si>
  <si>
    <t>PFU/mL = PFUs/Innoc uL * 1000uL/1mL * DilutionFactor</t>
  </si>
  <si>
    <t>Rep</t>
  </si>
  <si>
    <t>DF</t>
  </si>
  <si>
    <t>PFU</t>
  </si>
  <si>
    <t>Sample</t>
  </si>
  <si>
    <t>NA</t>
  </si>
  <si>
    <t>SpBeta</t>
  </si>
  <si>
    <t>Avg</t>
  </si>
  <si>
    <t>Phi3TLytic (10^8)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</si>
</sst>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2CD4-7498-0549-8E5C-3EE82CFDD0B2}">
  <dimension ref="A1:O57"/>
  <sheetViews>
    <sheetView tabSelected="1" zoomScale="114" workbookViewId="0">
      <selection activeCell="G12" sqref="G12"/>
    </sheetView>
  </sheetViews>
  <sheetFormatPr baseColWidth="10" defaultRowHeight="16" x14ac:dyDescent="0.2"/>
  <cols>
    <col min="1" max="1" width="20.33203125" customWidth="1"/>
    <col min="10" max="10" width="15.83203125" customWidth="1"/>
    <col min="12" max="12" width="11.33203125" bestFit="1" customWidth="1"/>
    <col min="13" max="13" width="13.83203125" bestFit="1" customWidth="1"/>
    <col min="14" max="14" width="22" bestFit="1" customWidth="1"/>
  </cols>
  <sheetData>
    <row r="1" spans="1:14" x14ac:dyDescent="0.2">
      <c r="A1" t="s">
        <v>5</v>
      </c>
      <c r="B1" t="s">
        <v>7</v>
      </c>
      <c r="C1" t="s">
        <v>2</v>
      </c>
      <c r="D1" t="s">
        <v>1</v>
      </c>
      <c r="E1" t="s">
        <v>0</v>
      </c>
      <c r="F1" t="s">
        <v>4</v>
      </c>
      <c r="G1" t="s">
        <v>3</v>
      </c>
      <c r="I1" t="s">
        <v>6</v>
      </c>
    </row>
    <row r="2" spans="1:14" x14ac:dyDescent="0.2">
      <c r="A2" t="s">
        <v>14</v>
      </c>
      <c r="B2">
        <v>1</v>
      </c>
      <c r="C2">
        <v>15</v>
      </c>
      <c r="D2">
        <v>3</v>
      </c>
      <c r="E2" s="1">
        <v>1E-3</v>
      </c>
      <c r="F2">
        <v>1000</v>
      </c>
      <c r="G2" s="1">
        <f>(C2/D2)*E2*F2</f>
        <v>5</v>
      </c>
    </row>
    <row r="3" spans="1:14" x14ac:dyDescent="0.2">
      <c r="A3" t="s">
        <v>14</v>
      </c>
      <c r="B3">
        <v>1</v>
      </c>
      <c r="C3">
        <v>5</v>
      </c>
      <c r="D3">
        <v>3</v>
      </c>
      <c r="E3" s="1">
        <v>1E-4</v>
      </c>
      <c r="F3">
        <v>1000</v>
      </c>
      <c r="G3" s="1">
        <f>(C3/D3)*E3*F3</f>
        <v>0.16666666666666669</v>
      </c>
    </row>
    <row r="4" spans="1:14" x14ac:dyDescent="0.2">
      <c r="A4" t="s">
        <v>14</v>
      </c>
      <c r="B4">
        <v>2</v>
      </c>
      <c r="C4">
        <v>22</v>
      </c>
      <c r="D4">
        <v>3</v>
      </c>
      <c r="E4" s="1">
        <v>1E-4</v>
      </c>
      <c r="F4">
        <v>1000</v>
      </c>
      <c r="G4" s="1">
        <f>(C4/D4)*E4*F4</f>
        <v>0.73333333333333339</v>
      </c>
    </row>
    <row r="5" spans="1:14" x14ac:dyDescent="0.2">
      <c r="B5">
        <v>2</v>
      </c>
      <c r="C5">
        <v>37</v>
      </c>
      <c r="D5">
        <v>3</v>
      </c>
      <c r="E5" s="1">
        <v>1E-4</v>
      </c>
      <c r="F5">
        <v>1000</v>
      </c>
      <c r="G5" s="1">
        <f>(C5/D5)*E5*F5</f>
        <v>1.2333333333333334</v>
      </c>
    </row>
    <row r="6" spans="1:14" x14ac:dyDescent="0.2">
      <c r="D6">
        <v>3</v>
      </c>
      <c r="E6" s="1"/>
      <c r="F6">
        <v>1000</v>
      </c>
      <c r="G6" s="1">
        <f>(C6/D6)*E6*F6</f>
        <v>0</v>
      </c>
    </row>
    <row r="7" spans="1:14" x14ac:dyDescent="0.2">
      <c r="F7" t="s">
        <v>13</v>
      </c>
      <c r="G7" s="1">
        <f>AVERAGE(G1:G6)</f>
        <v>1.4266666666666667</v>
      </c>
      <c r="H7" s="1"/>
      <c r="I7" s="1"/>
      <c r="J7" s="1"/>
      <c r="K7" s="1"/>
      <c r="L7" s="1"/>
      <c r="M7" s="1"/>
      <c r="N7" s="1"/>
    </row>
    <row r="8" spans="1:14" x14ac:dyDescent="0.2">
      <c r="G8" s="1"/>
    </row>
    <row r="10" spans="1:14" x14ac:dyDescent="0.2">
      <c r="E10" s="1"/>
      <c r="G10" s="1"/>
    </row>
    <row r="11" spans="1:14" x14ac:dyDescent="0.2">
      <c r="E11" s="1"/>
      <c r="G11" s="1"/>
    </row>
    <row r="12" spans="1:14" x14ac:dyDescent="0.2">
      <c r="E12" s="1"/>
      <c r="G12" s="1"/>
      <c r="M12" s="1"/>
    </row>
    <row r="13" spans="1:14" x14ac:dyDescent="0.2">
      <c r="E13" s="1"/>
      <c r="G13" s="1"/>
      <c r="M13" s="1"/>
    </row>
    <row r="14" spans="1:14" x14ac:dyDescent="0.2">
      <c r="E14" s="1"/>
      <c r="G14" s="1"/>
    </row>
    <row r="15" spans="1:14" x14ac:dyDescent="0.2">
      <c r="E15" s="1"/>
      <c r="G15" s="1"/>
      <c r="K15" s="1"/>
    </row>
    <row r="16" spans="1:14" x14ac:dyDescent="0.2">
      <c r="G16" s="1"/>
      <c r="H16" s="1"/>
      <c r="I16" s="1"/>
      <c r="J16" s="1"/>
      <c r="M16" s="1"/>
      <c r="N16" s="3"/>
    </row>
    <row r="17" spans="3:12" x14ac:dyDescent="0.2">
      <c r="C17" s="1"/>
      <c r="D17" s="1"/>
      <c r="E17" s="1"/>
      <c r="F17" s="1"/>
      <c r="G17" s="1"/>
      <c r="H17" s="1"/>
      <c r="I17" s="1"/>
      <c r="J17" s="1"/>
      <c r="K17" s="1"/>
      <c r="L17" s="1"/>
    </row>
    <row r="21" spans="3:12" x14ac:dyDescent="0.2">
      <c r="E21" s="1"/>
      <c r="G21" s="1"/>
    </row>
    <row r="22" spans="3:12" x14ac:dyDescent="0.2">
      <c r="E22" s="1"/>
      <c r="G22" s="1"/>
    </row>
    <row r="23" spans="3:12" x14ac:dyDescent="0.2">
      <c r="E23" s="1"/>
      <c r="G23" s="1"/>
    </row>
    <row r="24" spans="3:12" x14ac:dyDescent="0.2">
      <c r="E24" s="1"/>
      <c r="G24" s="1"/>
    </row>
    <row r="25" spans="3:12" x14ac:dyDescent="0.2">
      <c r="E25" s="1"/>
      <c r="G25" s="1"/>
    </row>
    <row r="26" spans="3:12" x14ac:dyDescent="0.2">
      <c r="E26" s="1"/>
      <c r="G26" s="1"/>
    </row>
    <row r="27" spans="3:12" x14ac:dyDescent="0.2">
      <c r="G27" s="1"/>
      <c r="H27" s="1"/>
      <c r="I27" s="1"/>
      <c r="J27" s="1"/>
    </row>
    <row r="28" spans="3:12" x14ac:dyDescent="0.2">
      <c r="J28" s="1"/>
    </row>
    <row r="32" spans="3:12" x14ac:dyDescent="0.2">
      <c r="E32" s="1"/>
      <c r="G32" s="1"/>
    </row>
    <row r="33" spans="5:12" x14ac:dyDescent="0.2">
      <c r="E33" s="1"/>
      <c r="G33" s="1"/>
    </row>
    <row r="34" spans="5:12" x14ac:dyDescent="0.2">
      <c r="E34" s="1"/>
      <c r="G34" s="1"/>
    </row>
    <row r="35" spans="5:12" x14ac:dyDescent="0.2">
      <c r="E35" s="1"/>
      <c r="G35" s="1"/>
    </row>
    <row r="36" spans="5:12" x14ac:dyDescent="0.2">
      <c r="E36" s="1"/>
      <c r="G36" s="1"/>
    </row>
    <row r="37" spans="5:12" x14ac:dyDescent="0.2">
      <c r="G37" s="1"/>
      <c r="H37" s="1"/>
      <c r="I37" s="1"/>
      <c r="J37" s="1"/>
      <c r="L37" s="2"/>
    </row>
    <row r="41" spans="5:12" x14ac:dyDescent="0.2">
      <c r="E41" s="1"/>
      <c r="G41" s="1"/>
    </row>
    <row r="42" spans="5:12" x14ac:dyDescent="0.2">
      <c r="E42" s="1"/>
      <c r="G42" s="1"/>
    </row>
    <row r="43" spans="5:12" x14ac:dyDescent="0.2">
      <c r="E43" s="1"/>
      <c r="G43" s="1"/>
    </row>
    <row r="44" spans="5:12" x14ac:dyDescent="0.2">
      <c r="E44" s="1"/>
      <c r="G44" s="1"/>
    </row>
    <row r="45" spans="5:12" x14ac:dyDescent="0.2">
      <c r="E45" s="1"/>
      <c r="G45" s="1"/>
    </row>
    <row r="46" spans="5:12" x14ac:dyDescent="0.2">
      <c r="G46" s="1"/>
      <c r="H46" s="1"/>
      <c r="I46" s="1"/>
      <c r="J46" s="1"/>
    </row>
    <row r="50" spans="5:15" x14ac:dyDescent="0.2">
      <c r="E50" s="1"/>
      <c r="G50" s="1"/>
      <c r="M50" s="1"/>
      <c r="O50" s="1"/>
    </row>
    <row r="51" spans="5:15" x14ac:dyDescent="0.2">
      <c r="E51" s="1"/>
      <c r="G51" s="1"/>
      <c r="M51" s="1"/>
      <c r="O51" s="1"/>
    </row>
    <row r="52" spans="5:15" x14ac:dyDescent="0.2">
      <c r="E52" s="1"/>
      <c r="G52" s="1"/>
      <c r="M52" s="1"/>
      <c r="O52" s="1"/>
    </row>
    <row r="53" spans="5:15" x14ac:dyDescent="0.2">
      <c r="E53" s="1"/>
      <c r="G53" s="1"/>
      <c r="M53" s="1"/>
      <c r="O53" s="1"/>
    </row>
    <row r="54" spans="5:15" x14ac:dyDescent="0.2">
      <c r="E54" s="1"/>
      <c r="G54" s="1"/>
      <c r="M54" s="1"/>
      <c r="O54" s="1"/>
    </row>
    <row r="55" spans="5:15" x14ac:dyDescent="0.2">
      <c r="E55" s="1"/>
      <c r="G55" s="1"/>
      <c r="H55" s="1"/>
      <c r="M55" s="1"/>
      <c r="O55" s="1"/>
    </row>
    <row r="57" spans="5:15" x14ac:dyDescent="0.2">
      <c r="G57" s="1"/>
      <c r="O5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EEE7-BD9A-6D4B-8779-3C970042394C}">
  <dimension ref="A1:L4"/>
  <sheetViews>
    <sheetView workbookViewId="0">
      <selection activeCell="D22" sqref="D22"/>
    </sheetView>
  </sheetViews>
  <sheetFormatPr baseColWidth="10" defaultRowHeight="16" x14ac:dyDescent="0.2"/>
  <sheetData>
    <row r="1" spans="1:12" x14ac:dyDescent="0.2">
      <c r="C1" t="s">
        <v>8</v>
      </c>
    </row>
    <row r="2" spans="1:12" x14ac:dyDescent="0.2">
      <c r="A2" t="s">
        <v>7</v>
      </c>
      <c r="B2" t="s">
        <v>5</v>
      </c>
      <c r="C2" s="1">
        <v>1</v>
      </c>
      <c r="D2" s="1">
        <v>10</v>
      </c>
      <c r="E2" s="1">
        <v>100</v>
      </c>
      <c r="F2" s="1">
        <v>1000</v>
      </c>
      <c r="G2" s="1">
        <v>10000</v>
      </c>
      <c r="H2" s="1">
        <v>100000</v>
      </c>
      <c r="I2" s="1">
        <v>1000000</v>
      </c>
      <c r="J2" s="1">
        <v>10000000</v>
      </c>
      <c r="K2" s="1">
        <v>100000000</v>
      </c>
    </row>
    <row r="3" spans="1:12" x14ac:dyDescent="0.2">
      <c r="A3" t="s">
        <v>10</v>
      </c>
      <c r="B3" t="s">
        <v>12</v>
      </c>
      <c r="C3">
        <v>16</v>
      </c>
      <c r="D3">
        <v>5</v>
      </c>
      <c r="E3" t="s">
        <v>11</v>
      </c>
    </row>
    <row r="4" spans="1:12" x14ac:dyDescent="0.2">
      <c r="A4" t="s">
        <v>9</v>
      </c>
      <c r="B4" t="s">
        <v>12</v>
      </c>
      <c r="C4" s="1">
        <f>(C3/3)*1000*C2</f>
        <v>5333.333333333333</v>
      </c>
      <c r="D4" s="1">
        <f t="shared" ref="D4:K4" si="0">(D3/3)*1000*D2</f>
        <v>16666.666666666668</v>
      </c>
      <c r="E4" s="1" t="e">
        <f t="shared" si="0"/>
        <v>#VALUE!</v>
      </c>
      <c r="F4" s="1">
        <f t="shared" si="0"/>
        <v>0</v>
      </c>
      <c r="G4" s="1">
        <f t="shared" si="0"/>
        <v>0</v>
      </c>
      <c r="H4" s="1">
        <f t="shared" si="0"/>
        <v>0</v>
      </c>
      <c r="I4" s="1">
        <f t="shared" si="0"/>
        <v>0</v>
      </c>
      <c r="J4" s="1">
        <f t="shared" si="0"/>
        <v>0</v>
      </c>
      <c r="K4" s="1">
        <f t="shared" si="0"/>
        <v>0</v>
      </c>
      <c r="L4" s="1">
        <f>AVERAGE(C4:D4)</f>
        <v>11000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78C3853D71F40A01E8048C033ACA0" ma:contentTypeVersion="9" ma:contentTypeDescription="Create a new document." ma:contentTypeScope="" ma:versionID="f4fc041311bd8818774e45e8cd0bc381">
  <xsd:schema xmlns:xsd="http://www.w3.org/2001/XMLSchema" xmlns:xs="http://www.w3.org/2001/XMLSchema" xmlns:p="http://schemas.microsoft.com/office/2006/metadata/properties" xmlns:ns2="b1fad4c4-a6d6-4aff-9962-361396e515c5" targetNamespace="http://schemas.microsoft.com/office/2006/metadata/properties" ma:root="true" ma:fieldsID="5b4576d4993e0894ea55502b3ee31828" ns2:_="">
    <xsd:import namespace="b1fad4c4-a6d6-4aff-9962-361396e51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ad4c4-a6d6-4aff-9962-361396e51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fad4c4-a6d6-4aff-9962-361396e515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06B827-4568-4078-847D-FB3E0D4839B7}"/>
</file>

<file path=customXml/itemProps2.xml><?xml version="1.0" encoding="utf-8"?>
<ds:datastoreItem xmlns:ds="http://schemas.openxmlformats.org/officeDocument/2006/customXml" ds:itemID="{EAE2C1DC-79F6-4EEE-9E00-92112C54EB33}"/>
</file>

<file path=customXml/itemProps3.xml><?xml version="1.0" encoding="utf-8"?>
<ds:datastoreItem xmlns:ds="http://schemas.openxmlformats.org/officeDocument/2006/customXml" ds:itemID="{2381A6AA-1762-4D96-B772-2D4C49AE5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Bueren, Emma Kathryn Rose</dc:creator>
  <cp:lastModifiedBy>Bueren, Emma Kathryn Rose</cp:lastModifiedBy>
  <dcterms:created xsi:type="dcterms:W3CDTF">2025-06-10T00:31:50Z</dcterms:created>
  <dcterms:modified xsi:type="dcterms:W3CDTF">2025-11-13T18:56:46Z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0x01010095478C3853D71F40A01E8048C033ACA0</vt:lpwstr>
  </property>
  <property fmtid="{D5CDD505-2E9C-101B-9397-08002B2CF9AE}" pid="3" name="Order">
    <vt:r8>111937900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